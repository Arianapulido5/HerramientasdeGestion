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ian\OneDrive\Documentos\8A_CUATRIMESTRE-IDGS\PROYECTO\"/>
    </mc:Choice>
  </mc:AlternateContent>
  <xr:revisionPtr revIDLastSave="0" documentId="8_{81A31CC1-0426-254D-A426-F34D57F010E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centrado" sheetId="1" r:id="rId1"/>
    <sheet name="Alumno1" sheetId="2" r:id="rId2"/>
    <sheet name="Alumno2" sheetId="3" r:id="rId3"/>
    <sheet name="Alumno3" sheetId="4" r:id="rId4"/>
    <sheet name="Alumno4" sheetId="5" r:id="rId5"/>
    <sheet name="Alumno5" sheetId="6" r:id="rId6"/>
    <sheet name="Alumno6" sheetId="7" r:id="rId7"/>
  </sheets>
  <definedNames>
    <definedName name="ALUMNOS">Concentrado!$O$1</definedName>
    <definedName name="FECHA">Concentrado!$L$2</definedName>
    <definedName name="GRADO">Concentrado!$C$2</definedName>
    <definedName name="PARCIAL">Concentrado!$G$2</definedName>
    <definedName name="PORCENTAJE">Concentrado!$O$3</definedName>
    <definedName name="PUNTAJE">Concentrado!$O$2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dII+8EPyGb6sJ4Xv0gJGv+w9Cs26JKliAFs5/N1c9I="/>
    </ext>
  </extLst>
</workbook>
</file>

<file path=xl/calcChain.xml><?xml version="1.0" encoding="utf-8"?>
<calcChain xmlns="http://schemas.openxmlformats.org/spreadsheetml/2006/main">
  <c r="I2" i="2" l="1"/>
  <c r="B11" i="7"/>
  <c r="B10" i="7"/>
  <c r="B9" i="7"/>
  <c r="B8" i="7"/>
  <c r="B7" i="7"/>
  <c r="B6" i="7"/>
  <c r="I2" i="7"/>
  <c r="F2" i="7"/>
  <c r="C2" i="7"/>
  <c r="F1" i="7"/>
  <c r="C1" i="7"/>
  <c r="B11" i="6"/>
  <c r="B10" i="6"/>
  <c r="B9" i="6"/>
  <c r="B8" i="6"/>
  <c r="B7" i="6"/>
  <c r="B6" i="6"/>
  <c r="I2" i="6"/>
  <c r="F2" i="6"/>
  <c r="C2" i="6"/>
  <c r="F1" i="6"/>
  <c r="C1" i="6"/>
  <c r="B11" i="5"/>
  <c r="B10" i="5"/>
  <c r="B9" i="5"/>
  <c r="B8" i="5"/>
  <c r="B7" i="5"/>
  <c r="B6" i="5"/>
  <c r="I2" i="5"/>
  <c r="F2" i="5"/>
  <c r="C2" i="5"/>
  <c r="F1" i="5"/>
  <c r="C1" i="5"/>
  <c r="B11" i="4"/>
  <c r="B10" i="4"/>
  <c r="B9" i="4"/>
  <c r="B8" i="4"/>
  <c r="B7" i="4"/>
  <c r="B6" i="4"/>
  <c r="I2" i="4"/>
  <c r="F2" i="4"/>
  <c r="C2" i="4"/>
  <c r="F1" i="4"/>
  <c r="C1" i="4"/>
  <c r="B11" i="3"/>
  <c r="B10" i="3"/>
  <c r="B9" i="3"/>
  <c r="B8" i="3"/>
  <c r="B7" i="3"/>
  <c r="B6" i="3"/>
  <c r="I2" i="3"/>
  <c r="F2" i="3"/>
  <c r="C2" i="3"/>
  <c r="F1" i="3"/>
  <c r="C1" i="3"/>
  <c r="B11" i="2"/>
  <c r="B10" i="2"/>
  <c r="B9" i="2"/>
  <c r="B8" i="2"/>
  <c r="B7" i="2"/>
  <c r="B6" i="2"/>
  <c r="F2" i="2"/>
  <c r="C2" i="2"/>
  <c r="F1" i="2"/>
  <c r="C1" i="2"/>
  <c r="J10" i="1"/>
  <c r="I10" i="1"/>
  <c r="H10" i="1"/>
  <c r="G10" i="1"/>
  <c r="F10" i="1"/>
  <c r="E10" i="1"/>
  <c r="D10" i="1"/>
  <c r="K10" i="1"/>
  <c r="J9" i="1"/>
  <c r="I9" i="1"/>
  <c r="H9" i="1"/>
  <c r="G9" i="1"/>
  <c r="F9" i="1"/>
  <c r="E9" i="1"/>
  <c r="D9" i="1"/>
  <c r="K9" i="1"/>
  <c r="J8" i="1"/>
  <c r="I8" i="1"/>
  <c r="H8" i="1"/>
  <c r="G8" i="1"/>
  <c r="F8" i="1"/>
  <c r="E8" i="1"/>
  <c r="D8" i="1"/>
  <c r="J7" i="1"/>
  <c r="I7" i="1"/>
  <c r="H7" i="1"/>
  <c r="G7" i="1"/>
  <c r="F7" i="1"/>
  <c r="E7" i="1"/>
  <c r="D7" i="1"/>
  <c r="J6" i="1"/>
  <c r="I6" i="1"/>
  <c r="H6" i="1"/>
  <c r="G6" i="1"/>
  <c r="F6" i="1"/>
  <c r="E6" i="1"/>
  <c r="D6" i="1"/>
  <c r="J5" i="1"/>
  <c r="I5" i="1"/>
  <c r="H5" i="1"/>
  <c r="G5" i="1"/>
  <c r="F5" i="1"/>
  <c r="E5" i="1"/>
  <c r="D5" i="1"/>
  <c r="O2" i="1"/>
  <c r="C12" i="2"/>
  <c r="K5" i="1"/>
  <c r="K7" i="1"/>
  <c r="K6" i="1"/>
  <c r="K8" i="1"/>
  <c r="J12" i="7"/>
  <c r="I12" i="7"/>
  <c r="H12" i="7"/>
  <c r="G12" i="7"/>
  <c r="F12" i="7"/>
  <c r="E12" i="7"/>
  <c r="D12" i="7"/>
  <c r="C12" i="7"/>
  <c r="J12" i="6"/>
  <c r="I12" i="6"/>
  <c r="H12" i="6"/>
  <c r="G12" i="6"/>
  <c r="F12" i="6"/>
  <c r="E12" i="6"/>
  <c r="D12" i="6"/>
  <c r="C12" i="6"/>
  <c r="I12" i="5"/>
  <c r="H12" i="5"/>
  <c r="G12" i="5"/>
  <c r="F12" i="5"/>
  <c r="E12" i="5"/>
  <c r="D12" i="5"/>
  <c r="C12" i="5"/>
  <c r="I12" i="4"/>
  <c r="H12" i="4"/>
  <c r="G12" i="4"/>
  <c r="F12" i="4"/>
  <c r="E12" i="4"/>
  <c r="D12" i="4"/>
  <c r="C12" i="4"/>
  <c r="D11" i="1"/>
  <c r="I12" i="3"/>
  <c r="H12" i="3"/>
  <c r="G12" i="3"/>
  <c r="F12" i="3"/>
  <c r="E12" i="3"/>
  <c r="D12" i="3"/>
  <c r="C12" i="3"/>
  <c r="I12" i="2"/>
  <c r="H12" i="2"/>
  <c r="G12" i="2"/>
  <c r="F12" i="2"/>
  <c r="E12" i="2"/>
  <c r="F11" i="1"/>
  <c r="D12" i="2"/>
  <c r="E11" i="1"/>
  <c r="H11" i="1"/>
  <c r="G11" i="1"/>
  <c r="J11" i="1"/>
  <c r="I11" i="1"/>
  <c r="K11" i="1"/>
  <c r="L8" i="1"/>
  <c r="M8" i="1"/>
  <c r="L9" i="1"/>
  <c r="M9" i="1"/>
  <c r="L10" i="1"/>
  <c r="M10" i="1"/>
  <c r="L7" i="1"/>
  <c r="M7" i="1"/>
  <c r="L6" i="1"/>
  <c r="M6" i="1"/>
  <c r="L5" i="1"/>
  <c r="M5" i="1"/>
</calcChain>
</file>

<file path=xl/sharedStrings.xml><?xml version="1.0" encoding="utf-8"?>
<sst xmlns="http://schemas.openxmlformats.org/spreadsheetml/2006/main" count="158" uniqueCount="40">
  <si>
    <t>Coevaluación</t>
  </si>
  <si>
    <t>Grado y Grupo</t>
  </si>
  <si>
    <t>Parcial:</t>
  </si>
  <si>
    <t>Fecha:</t>
  </si>
  <si>
    <t>No.</t>
  </si>
  <si>
    <t>Matrícula</t>
  </si>
  <si>
    <t>Alumnos</t>
  </si>
  <si>
    <t>Puntos</t>
  </si>
  <si>
    <t>Total</t>
  </si>
  <si>
    <t>Calificación</t>
  </si>
  <si>
    <t>Porcentaje</t>
  </si>
  <si>
    <t xml:space="preserve">Matrícula </t>
  </si>
  <si>
    <t>Alumno</t>
  </si>
  <si>
    <t>Parcial</t>
  </si>
  <si>
    <t xml:space="preserve">Fecha  </t>
  </si>
  <si>
    <t>Integrante del equipo</t>
  </si>
  <si>
    <t>Responsabilidad</t>
  </si>
  <si>
    <t>Trabajo en equipo</t>
  </si>
  <si>
    <t xml:space="preserve">Lealtad </t>
  </si>
  <si>
    <t>Honestidad</t>
  </si>
  <si>
    <t>Asiste de manera puntual en la fecha y horas fijadas por el equipo.</t>
  </si>
  <si>
    <t>Con los compromisos asignados cumple de manera puntual.</t>
  </si>
  <si>
    <t>Aporta ideas que permitan la resolución de problemas.</t>
  </si>
  <si>
    <t>Muestra iniciativa en el desarrollo de actividades que permitan alcanzar los objetivos.</t>
  </si>
  <si>
    <t>Muestra respeto hacia las ideas y opiniones de los demás.</t>
  </si>
  <si>
    <t>Mostró discreción en el manejo de la información, ideas y contribuciones en el equipo.</t>
  </si>
  <si>
    <t>Muestra honestidad en cada una de las actividades del equipo.</t>
  </si>
  <si>
    <t>Reglas:</t>
  </si>
  <si>
    <t>Deberá ingresar los puntos que considere para cada rubro a cada integrante de su equipo; no se pueden repetir los puntos entre integrantes en un mismo rubro.</t>
  </si>
  <si>
    <t>La suma total de los puntos por rubro deberá ser siempre la suma de los integrantes menos 1, multiplicado por 10. Ej. Para 5 integrantes, 5-1=4*10=40, siendo 40 la suma de los puntos.</t>
  </si>
  <si>
    <t>No se puede poner cero como puntaje. Siendo éste de 1 en adelante.</t>
  </si>
  <si>
    <t>20223L001004</t>
  </si>
  <si>
    <t>Hugo Martínez Vallejo</t>
  </si>
  <si>
    <t>Ariana Belinda Pulido Solano</t>
  </si>
  <si>
    <t xml:space="preserve">Elizabeth Vega Pacheco </t>
  </si>
  <si>
    <t>20233L001039</t>
  </si>
  <si>
    <t>20223l001092</t>
  </si>
  <si>
    <t>20223l001099</t>
  </si>
  <si>
    <t>Juan Gerardo Reyes Carrera</t>
  </si>
  <si>
    <t>8A-IDGS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</si>
</sst>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A]dd/mm/yyyy"/>
    <numFmt numFmtId="165" formatCode="0.0%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right" vertical="center"/>
    </xf>
    <xf numFmtId="2" fontId="2" fillId="3" borderId="10" xfId="0" applyNumberFormat="1" applyFont="1" applyFill="1" applyBorder="1" applyAlignment="1">
      <alignment horizontal="right" vertical="center"/>
    </xf>
    <xf numFmtId="2" fontId="2" fillId="3" borderId="12" xfId="0" applyNumberFormat="1" applyFont="1" applyFill="1" applyBorder="1" applyAlignment="1">
      <alignment horizontal="right" vertical="center"/>
    </xf>
    <xf numFmtId="2" fontId="2" fillId="3" borderId="13" xfId="0" applyNumberFormat="1" applyFont="1" applyFill="1" applyBorder="1" applyAlignment="1">
      <alignment horizontal="right" vertical="center"/>
    </xf>
    <xf numFmtId="165" fontId="2" fillId="3" borderId="13" xfId="0" applyNumberFormat="1" applyFont="1" applyFill="1" applyBorder="1" applyAlignment="1">
      <alignment horizontal="right" vertical="center"/>
    </xf>
    <xf numFmtId="1" fontId="2" fillId="3" borderId="16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1" fontId="2" fillId="3" borderId="19" xfId="0" applyNumberFormat="1" applyFont="1" applyFill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2" borderId="22" xfId="0" applyFont="1" applyFill="1" applyBorder="1" applyAlignment="1">
      <alignment horizontal="center" vertical="center"/>
    </xf>
    <xf numFmtId="1" fontId="2" fillId="0" borderId="23" xfId="0" applyNumberFormat="1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164" fontId="2" fillId="0" borderId="27" xfId="0" applyNumberFormat="1" applyFont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4" borderId="13" xfId="0" applyFont="1" applyFill="1" applyBorder="1" applyAlignment="1">
      <alignment horizontal="left" vertical="top" wrapText="1"/>
    </xf>
    <xf numFmtId="1" fontId="2" fillId="5" borderId="9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1" fontId="2" fillId="5" borderId="9" xfId="0" applyNumberFormat="1" applyFont="1" applyFill="1" applyBorder="1" applyAlignment="1">
      <alignment horizontal="right" vertical="center"/>
    </xf>
    <xf numFmtId="1" fontId="2" fillId="5" borderId="12" xfId="0" applyNumberFormat="1" applyFont="1" applyFill="1" applyBorder="1" applyAlignment="1">
      <alignment horizontal="right" vertical="center"/>
    </xf>
    <xf numFmtId="1" fontId="2" fillId="5" borderId="10" xfId="0" applyNumberFormat="1" applyFont="1" applyFill="1" applyBorder="1" applyAlignment="1">
      <alignment horizontal="right" vertical="center"/>
    </xf>
    <xf numFmtId="1" fontId="2" fillId="5" borderId="13" xfId="0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left" vertical="center"/>
    </xf>
    <xf numFmtId="1" fontId="5" fillId="0" borderId="9" xfId="0" applyNumberFormat="1" applyFont="1" applyBorder="1" applyAlignment="1">
      <alignment horizontal="right"/>
    </xf>
    <xf numFmtId="1" fontId="5" fillId="0" borderId="11" xfId="0" applyNumberFormat="1" applyFont="1" applyBorder="1" applyAlignment="1">
      <alignment horizontal="right"/>
    </xf>
    <xf numFmtId="1" fontId="5" fillId="0" borderId="32" xfId="0" applyNumberFormat="1" applyFont="1" applyBorder="1" applyAlignment="1">
      <alignment horizontal="right"/>
    </xf>
    <xf numFmtId="1" fontId="5" fillId="0" borderId="30" xfId="0" applyNumberFormat="1" applyFont="1" applyBorder="1" applyAlignment="1">
      <alignment horizontal="right"/>
    </xf>
    <xf numFmtId="1" fontId="5" fillId="0" borderId="15" xfId="0" applyNumberFormat="1" applyFont="1" applyBorder="1" applyAlignment="1">
      <alignment horizontal="right"/>
    </xf>
    <xf numFmtId="1" fontId="5" fillId="0" borderId="33" xfId="0" applyNumberFormat="1" applyFont="1" applyBorder="1" applyAlignment="1">
      <alignment horizontal="right"/>
    </xf>
    <xf numFmtId="1" fontId="2" fillId="0" borderId="9" xfId="0" applyNumberFormat="1" applyFont="1" applyBorder="1" applyAlignment="1">
      <alignment horizontal="right" vertical="center"/>
    </xf>
    <xf numFmtId="1" fontId="2" fillId="0" borderId="12" xfId="0" applyNumberFormat="1" applyFont="1" applyBorder="1" applyAlignment="1">
      <alignment horizontal="right" vertical="center"/>
    </xf>
    <xf numFmtId="1" fontId="2" fillId="0" borderId="10" xfId="0" applyNumberFormat="1" applyFont="1" applyBorder="1" applyAlignment="1">
      <alignment horizontal="right" vertical="center"/>
    </xf>
    <xf numFmtId="1" fontId="2" fillId="0" borderId="13" xfId="0" applyNumberFormat="1" applyFont="1" applyBorder="1" applyAlignment="1">
      <alignment horizontal="right" vertical="center"/>
    </xf>
    <xf numFmtId="1" fontId="2" fillId="3" borderId="19" xfId="0" applyNumberFormat="1" applyFont="1" applyFill="1" applyBorder="1" applyAlignment="1">
      <alignment horizontal="right" vertical="center"/>
    </xf>
    <xf numFmtId="1" fontId="5" fillId="5" borderId="30" xfId="0" applyNumberFormat="1" applyFont="1" applyFill="1" applyBorder="1"/>
    <xf numFmtId="1" fontId="5" fillId="5" borderId="15" xfId="0" applyNumberFormat="1" applyFont="1" applyFill="1" applyBorder="1"/>
    <xf numFmtId="1" fontId="5" fillId="5" borderId="33" xfId="0" applyNumberFormat="1" applyFont="1" applyFill="1" applyBorder="1"/>
    <xf numFmtId="1" fontId="5" fillId="0" borderId="13" xfId="0" applyNumberFormat="1" applyFont="1" applyBorder="1" applyAlignment="1">
      <alignment horizontal="right"/>
    </xf>
    <xf numFmtId="1" fontId="5" fillId="0" borderId="36" xfId="0" applyNumberFormat="1" applyFont="1" applyBorder="1" applyAlignment="1">
      <alignment horizontal="right"/>
    </xf>
    <xf numFmtId="1" fontId="2" fillId="0" borderId="14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15" xfId="0" applyFont="1" applyBorder="1"/>
    <xf numFmtId="1" fontId="2" fillId="0" borderId="10" xfId="0" applyNumberFormat="1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5" xfId="0" applyFont="1" applyBorder="1"/>
    <xf numFmtId="0" fontId="2" fillId="0" borderId="26" xfId="0" applyFont="1" applyBorder="1" applyAlignment="1">
      <alignment horizontal="left" vertical="center"/>
    </xf>
    <xf numFmtId="0" fontId="3" fillId="0" borderId="26" xfId="0" applyFont="1" applyBorder="1"/>
    <xf numFmtId="0" fontId="6" fillId="2" borderId="2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3" fillId="0" borderId="30" xfId="0" applyFont="1" applyBorder="1"/>
    <xf numFmtId="0" fontId="1" fillId="4" borderId="5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3" fillId="0" borderId="31" xfId="0" applyFont="1" applyBorder="1"/>
    <xf numFmtId="0" fontId="4" fillId="2" borderId="34" xfId="0" applyFont="1" applyFill="1" applyBorder="1" applyAlignment="1">
      <alignment horizontal="center" vertical="center"/>
    </xf>
    <xf numFmtId="0" fontId="3" fillId="0" borderId="35" xfId="0" applyFont="1" applyBorder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customschemas.google.com/relationships/workbookmetadata" Target="metadata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4" Type="http://schemas.openxmlformats.org/officeDocument/2006/relationships/worksheet" Target="worksheets/sheet4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09" zoomScaleNormal="10" workbookViewId="0">
      <selection activeCell="P4" sqref="P4"/>
    </sheetView>
  </sheetViews>
  <sheetFormatPr defaultColWidth="12.67578125" defaultRowHeight="15" customHeight="1" x14ac:dyDescent="0.15"/>
  <cols>
    <col min="1" max="1" width="5.66015625" customWidth="1"/>
    <col min="2" max="2" width="15.640625" customWidth="1"/>
    <col min="3" max="3" width="40.72265625" customWidth="1"/>
    <col min="4" max="10" width="5.66015625" customWidth="1"/>
    <col min="11" max="12" width="10.65234375" customWidth="1"/>
    <col min="13" max="14" width="10.921875" customWidth="1"/>
    <col min="15" max="15" width="5.66015625" customWidth="1"/>
    <col min="16" max="26" width="10.921875" customWidth="1"/>
  </cols>
  <sheetData>
    <row r="1" spans="1:26" ht="12.75" customHeight="1" x14ac:dyDescent="0.1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2"/>
      <c r="O1" s="3">
        <v>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63" t="s">
        <v>1</v>
      </c>
      <c r="B2" s="64"/>
      <c r="C2" s="4" t="s">
        <v>39</v>
      </c>
      <c r="D2" s="63" t="s">
        <v>2</v>
      </c>
      <c r="E2" s="64"/>
      <c r="F2" s="64"/>
      <c r="G2" s="65">
        <v>1</v>
      </c>
      <c r="H2" s="66"/>
      <c r="I2" s="66"/>
      <c r="J2" s="66"/>
      <c r="K2" s="1" t="s">
        <v>3</v>
      </c>
      <c r="L2" s="67">
        <v>45335</v>
      </c>
      <c r="M2" s="66"/>
      <c r="N2" s="2"/>
      <c r="O2" s="3">
        <f>(O1-1)*10</f>
        <v>30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>
        <v>0.03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6" t="s">
        <v>4</v>
      </c>
      <c r="B4" s="7" t="s">
        <v>5</v>
      </c>
      <c r="C4" s="8" t="s">
        <v>6</v>
      </c>
      <c r="D4" s="60" t="s">
        <v>7</v>
      </c>
      <c r="E4" s="61"/>
      <c r="F4" s="61"/>
      <c r="G4" s="61"/>
      <c r="H4" s="61"/>
      <c r="I4" s="61"/>
      <c r="J4" s="62"/>
      <c r="K4" s="9" t="s">
        <v>8</v>
      </c>
      <c r="L4" s="9" t="s">
        <v>9</v>
      </c>
      <c r="M4" s="9" t="s">
        <v>10</v>
      </c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10">
        <v>1</v>
      </c>
      <c r="B5" s="59" t="s">
        <v>35</v>
      </c>
      <c r="C5" s="57" t="s">
        <v>38</v>
      </c>
      <c r="D5" s="11">
        <f>IF($B5&lt;&gt;"",AVERAGE(Alumno1!C6,Alumno2!C6,Alumno3!C6,Alumno4!C6,Alumno5!C6,Alumno6!C6),0)</f>
        <v>10</v>
      </c>
      <c r="E5" s="12">
        <f>IF($B5&lt;&gt;"",AVERAGE(Alumno1!D6,Alumno2!D6,Alumno3!D6,Alumno4!D6,Alumno5!D6,Alumno6!D6),0)</f>
        <v>10</v>
      </c>
      <c r="F5" s="12">
        <f>IF($B5&lt;&gt;"",AVERAGE(Alumno1!E6,Alumno2!E6,Alumno3!E6,Alumno4!E6,Alumno5!E6),0)</f>
        <v>9.6666666666666661</v>
      </c>
      <c r="G5" s="12">
        <f>IF($B5&lt;&gt;"",AVERAGE(Alumno1!F6,Alumno2!F6,Alumno3!F6,Alumno4!F6,Alumno5!F6,Alumno6!F6),0)</f>
        <v>10</v>
      </c>
      <c r="H5" s="12">
        <f>IF($B5&lt;&gt;"",AVERAGE(Alumno1!G6,Alumno2!G6,Alumno3!G6,Alumno4!G6,Alumno5!G6,Alumno6!G6),0)</f>
        <v>10.333333333333334</v>
      </c>
      <c r="I5" s="12">
        <f>IF($B5&lt;&gt;"",AVERAGE(Alumno1!H6,Alumno2!H6,Alumno3!H6,Alumno4!H6,Alumno5!H6,Alumno6!H6),0)</f>
        <v>9.3333333333333339</v>
      </c>
      <c r="J5" s="13">
        <f>IF($B5&lt;&gt;"",AVERAGE(Alumno1!I6,Alumno2!I6,Alumno3!I6,Alumno4!I6,Alumno5!I6,Alumno6!I6),0)</f>
        <v>10.666666666666666</v>
      </c>
      <c r="K5" s="14">
        <f t="shared" ref="K5:K10" si="0">AVERAGE(D5:J5)</f>
        <v>10</v>
      </c>
      <c r="L5" s="14">
        <f t="shared" ref="L5:L10" si="1">K5/$K$11*10</f>
        <v>10</v>
      </c>
      <c r="M5" s="15">
        <f t="shared" ref="M5:M10" si="2">L5*PORCENTAJE</f>
        <v>0.3</v>
      </c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10">
        <v>2</v>
      </c>
      <c r="B6" s="56" t="s">
        <v>37</v>
      </c>
      <c r="C6" s="58" t="s">
        <v>32</v>
      </c>
      <c r="D6" s="11">
        <f>IF($B6&lt;&gt;"",AVERAGE(Alumno1!C7,Alumno2!C7,Alumno3!C7,Alumno4!C7,Alumno5!C7,Alumno6!C7),0)</f>
        <v>10</v>
      </c>
      <c r="E6" s="12">
        <f>IF($B6&lt;&gt;"",AVERAGE(Alumno1!D7,Alumno2!D7,Alumno3!D7,Alumno4!D7,Alumno5!D7,Alumno6!D7),0)</f>
        <v>9.6666666666666661</v>
      </c>
      <c r="F6" s="12">
        <f>IF($B6&lt;&gt;"",AVERAGE(Alumno1!E7,Alumno2!E7,Alumno3!E7,Alumno4!E7,Alumno5!E7,Alumno6!E7),0)</f>
        <v>10.333333333333334</v>
      </c>
      <c r="G6" s="12">
        <f>IF($B6&lt;&gt;"",AVERAGE(Alumno1!F7,Alumno2!F7,Alumno3!F7,Alumno4!F7,Alumno5!F7,Alumno6!F7),0)</f>
        <v>10.333333333333334</v>
      </c>
      <c r="H6" s="12">
        <f>IF($B6&lt;&gt;"",AVERAGE(Alumno1!G7,Alumno2!G7,Alumno3!G7,Alumno4!G7,Alumno5!G7,Alumno6!G7),0)</f>
        <v>9.6666666666666661</v>
      </c>
      <c r="I6" s="12">
        <f>IF($B6&lt;&gt;"",AVERAGE(Alumno1!H7,Alumno2!H7,Alumno3!H7,Alumno4!H7,Alumno5!H7,Alumno6!H7),0)</f>
        <v>10</v>
      </c>
      <c r="J6" s="13">
        <f>IF($B6&lt;&gt;"",AVERAGE(Alumno1!I7,Alumno2!I7,Alumno3!I7,Alumno4!I7,Alumno5!I7,Alumno6!I7),0)</f>
        <v>10</v>
      </c>
      <c r="K6" s="14">
        <f t="shared" si="0"/>
        <v>10</v>
      </c>
      <c r="L6" s="14">
        <f t="shared" si="1"/>
        <v>10</v>
      </c>
      <c r="M6" s="15">
        <f t="shared" si="2"/>
        <v>0.3</v>
      </c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10">
        <v>3</v>
      </c>
      <c r="B7" s="56" t="s">
        <v>31</v>
      </c>
      <c r="C7" s="58" t="s">
        <v>33</v>
      </c>
      <c r="D7" s="11">
        <f>IF($B7&lt;&gt;"",AVERAGE(Alumno1!C8,Alumno2!C8,Alumno3!C8,Alumno4!C8,Alumno5!C8,Alumno6!C8),0)</f>
        <v>10</v>
      </c>
      <c r="E7" s="12">
        <f>IF($B7&lt;&gt;"",AVERAGE(Alumno1!D8,Alumno2!D8,Alumno3!D8,Alumno4!D8,Alumno5!D8,Alumno6!D8),0)</f>
        <v>10</v>
      </c>
      <c r="F7" s="12">
        <f>IF($B7&lt;&gt;"",AVERAGE(Alumno1!E8,Alumno2!E8,Alumno3!E8,Alumno4!E8,Alumno5!E8,Alumno6!E8),0)</f>
        <v>10.333333333333334</v>
      </c>
      <c r="G7" s="12">
        <f>IF($B7&lt;&gt;"",AVERAGE(Alumno1!F8,Alumno2!F8,Alumno3!F8,Alumno4!F8,Alumno5!F8,Alumno6!F8),0)</f>
        <v>10</v>
      </c>
      <c r="H7" s="12">
        <f>IF($B7&lt;&gt;"",AVERAGE(Alumno1!G8,Alumno2!G8,Alumno3!G8,Alumno4!G8,Alumno5!G8,Alumno6!G8),0)</f>
        <v>9.6666666666666661</v>
      </c>
      <c r="I7" s="12">
        <f>IF($B7&lt;&gt;"",AVERAGE(Alumno1!H8,Alumno2!H8,Alumno3!H8,Alumno4!H8,Alumno5!H8,Alumno6!H8),0)</f>
        <v>10.666666666666666</v>
      </c>
      <c r="J7" s="13">
        <f>IF($B7&lt;&gt;"",AVERAGE(Alumno1!I8,Alumno2!I8,Alumno3!I8,Alumno4!I8,Alumno5!I8,Alumno6!I8),0)</f>
        <v>9.3333333333333339</v>
      </c>
      <c r="K7" s="14">
        <f t="shared" si="0"/>
        <v>10</v>
      </c>
      <c r="L7" s="14">
        <f t="shared" si="1"/>
        <v>10</v>
      </c>
      <c r="M7" s="15">
        <f t="shared" si="2"/>
        <v>0.3</v>
      </c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10">
        <v>4</v>
      </c>
      <c r="B8" s="56" t="s">
        <v>36</v>
      </c>
      <c r="C8" s="58" t="s">
        <v>34</v>
      </c>
      <c r="D8" s="11">
        <f>IF($B8&lt;&gt;"",AVERAGE(Alumno1!C9,Alumno2!C9,Alumno3!C9,Alumno4!C9,Alumno5!C9,Alumno6!C9),0)</f>
        <v>10</v>
      </c>
      <c r="E8" s="12">
        <f>IF($B8&lt;&gt;"",AVERAGE(Alumno1!D9,Alumno2!D9,Alumno3!D9,Alumno4!D9,Alumno5!D9,Alumno6!D9),0)</f>
        <v>10.333333333333334</v>
      </c>
      <c r="F8" s="12">
        <f>IF($B8&lt;&gt;"",AVERAGE(Alumno1!E9,Alumno2!E9,Alumno3!E9,Alumno4!E9,Alumno5!E9,Alumno6!E9),0)</f>
        <v>9.6666666666666661</v>
      </c>
      <c r="G8" s="12">
        <f>IF($B8&lt;&gt;"",AVERAGE(Alumno1!F9,Alumno2!F9,Alumno3!F9,Alumno4!F9,Alumno5!F9,Alumno6!F9),0)</f>
        <v>9.6666666666666661</v>
      </c>
      <c r="H8" s="12">
        <f>IF($B8&lt;&gt;"",AVERAGE(Alumno1!G9,Alumno2!G9,Alumno3!G9,Alumno4!G9,Alumno5!G9,Alumno6!G9),0)</f>
        <v>10.333333333333334</v>
      </c>
      <c r="I8" s="12">
        <f>IF($B8&lt;&gt;"",AVERAGE(Alumno1!H9,Alumno2!H9,Alumno3!H9,Alumno4!H9,Alumno5!H9,Alumno6!H9),0)</f>
        <v>10</v>
      </c>
      <c r="J8" s="13">
        <f>IF($B8&lt;&gt;"",AVERAGE(Alumno1!I9,Alumno2!I9,Alumno3!I9,Alumno4!I9,Alumno5!I9,Alumno6!I9),0)</f>
        <v>10</v>
      </c>
      <c r="K8" s="14">
        <f t="shared" si="0"/>
        <v>10</v>
      </c>
      <c r="L8" s="14">
        <f t="shared" si="1"/>
        <v>10</v>
      </c>
      <c r="M8" s="15">
        <f t="shared" si="2"/>
        <v>0.3</v>
      </c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16">
        <v>5</v>
      </c>
      <c r="B9" s="17"/>
      <c r="C9" s="18"/>
      <c r="D9" s="11">
        <f>IF($B9&lt;&gt;"",AVERAGE(Alumno1!C10,Alumno2!C10,Alumno3!C10,Alumno4!C10,Alumno5!C10,Alumno6!C10),0)</f>
        <v>0</v>
      </c>
      <c r="E9" s="12">
        <f>IF($B9&lt;&gt;"",AVERAGE(Alumno1!D10,Alumno2!D10,Alumno3!D10,Alumno4!D10,Alumno5!D10,Alumno6!D10),0)</f>
        <v>0</v>
      </c>
      <c r="F9" s="12">
        <f>IF($B9&lt;&gt;"",AVERAGE(Alumno1!E10,Alumno2!E10,Alumno3!E10,Alumno4!E10,Alumno5!E10,Alumno6!E10),0)</f>
        <v>0</v>
      </c>
      <c r="G9" s="12">
        <f>IF($B9&lt;&gt;"",AVERAGE(Alumno1!F10,Alumno2!F10,Alumno3!F10,Alumno4!F10,Alumno5!F10,Alumno6!F10),0)</f>
        <v>0</v>
      </c>
      <c r="H9" s="12">
        <f>IF($B9&lt;&gt;"",AVERAGE(Alumno1!G10,Alumno2!G10,Alumno3!G10,Alumno4!G10,Alumno5!G10,Alumno6!G10),0)</f>
        <v>0</v>
      </c>
      <c r="I9" s="12">
        <f>IF($B9&lt;&gt;"",AVERAGE(Alumno1!H10,Alumno2!H10,Alumno3!H10,Alumno4!H10,Alumno5!H10,Alumno6!H10),0)</f>
        <v>0</v>
      </c>
      <c r="J9" s="13">
        <f>IF($B9&lt;&gt;"",AVERAGE(Alumno1!I10,Alumno2!I10,Alumno3!I10,Alumno4!I10,Alumno5!I10,Alumno6!I10),0)</f>
        <v>0</v>
      </c>
      <c r="K9" s="14">
        <f t="shared" si="0"/>
        <v>0</v>
      </c>
      <c r="L9" s="14">
        <f t="shared" si="1"/>
        <v>0</v>
      </c>
      <c r="M9" s="15">
        <f t="shared" si="2"/>
        <v>0</v>
      </c>
      <c r="N9" s="2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19">
        <v>6</v>
      </c>
      <c r="B10" s="20"/>
      <c r="C10" s="21"/>
      <c r="D10" s="11">
        <f>IF($B10&lt;&gt;"",AVERAGE(Alumno1!C11,Alumno2!C11,Alumno3!C11,Alumno4!C11,Alumno5!C11,Alumno6!C11),0)</f>
        <v>0</v>
      </c>
      <c r="E10" s="12">
        <f>IF($B10&lt;&gt;"",AVERAGE(Alumno1!D11,Alumno2!D11,Alumno3!D11,Alumno4!D11,Alumno5!D11,Alumno6!D11),0)</f>
        <v>0</v>
      </c>
      <c r="F10" s="12">
        <f>IF($B10&lt;&gt;"",AVERAGE(Alumno1!E11,Alumno2!E11,Alumno3!E11,Alumno4!E11,Alumno5!E11,Alumno6!E11),0)</f>
        <v>0</v>
      </c>
      <c r="G10" s="12">
        <f>IF($B10&lt;&gt;"",AVERAGE(Alumno1!F11,Alumno2!F11,Alumno3!F11,Alumno4!F11,Alumno5!F11,Alumno6!F11),0)</f>
        <v>0</v>
      </c>
      <c r="H10" s="12">
        <f>IF($B10&lt;&gt;"",AVERAGE(Alumno1!G11,Alumno2!G11,Alumno3!G11,Alumno4!G11,Alumno5!G11,Alumno6!G11),0)</f>
        <v>0</v>
      </c>
      <c r="I10" s="12">
        <f>IF($B10&lt;&gt;"",AVERAGE(Alumno1!H11,Alumno2!H11,Alumno3!H11,Alumno4!H11,Alumno5!H11,Alumno6!H11),0)</f>
        <v>0</v>
      </c>
      <c r="J10" s="13">
        <f>IF($B10&lt;&gt;"",AVERAGE(Alumno1!I11,Alumno2!I11,Alumno3!I11,Alumno4!I11,Alumno5!I11,Alumno6!I11),0)</f>
        <v>0</v>
      </c>
      <c r="K10" s="14">
        <f t="shared" si="0"/>
        <v>0</v>
      </c>
      <c r="L10" s="14">
        <f t="shared" si="1"/>
        <v>0</v>
      </c>
      <c r="M10" s="15">
        <f t="shared" si="2"/>
        <v>0</v>
      </c>
      <c r="N10" s="2"/>
      <c r="O10" s="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2"/>
      <c r="B11" s="2"/>
      <c r="C11" s="2"/>
      <c r="D11" s="22">
        <f>AVERAGE(Alumno1!C12,Alumno2!C12,Alumno3!C12,Alumno4!C12,Alumno5!C12)</f>
        <v>30</v>
      </c>
      <c r="E11" s="22">
        <f>AVERAGE(Alumno1!D12,Alumno2!D12,Alumno3!D12,Alumno4!D12,Alumno5!D12)</f>
        <v>30</v>
      </c>
      <c r="F11" s="22">
        <f>AVERAGE(Alumno1!E12,Alumno2!E12,Alumno3!E12,Alumno4!E12,Alumno5!E12)</f>
        <v>30</v>
      </c>
      <c r="G11" s="22">
        <f>AVERAGE(Alumno1!F12,Alumno2!F12,Alumno3!F12,Alumno4!F12,Alumno5!F12)</f>
        <v>30</v>
      </c>
      <c r="H11" s="22">
        <f>AVERAGE(Alumno1!G12,Alumno2!G12,Alumno3!G12,Alumno4!G12,Alumno5!G12)</f>
        <v>30</v>
      </c>
      <c r="I11" s="22">
        <f>AVERAGE(Alumno1!H12,Alumno2!H12,Alumno3!H12,Alumno4!H12,Alumno5!H12)</f>
        <v>30</v>
      </c>
      <c r="J11" s="22">
        <f>AVERAGE(Alumno1!I12,Alumno2!I12,Alumno3!I12,Alumno4!I12,Alumno5!I12)</f>
        <v>30</v>
      </c>
      <c r="K11" s="22">
        <f>MAX(K5:K10)</f>
        <v>10</v>
      </c>
      <c r="L11" s="23"/>
      <c r="M11" s="23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/>
      <c r="B13" s="2"/>
      <c r="C13" s="2"/>
      <c r="D13" s="2"/>
      <c r="E13" s="2"/>
      <c r="F13" s="2"/>
      <c r="H13" s="2"/>
      <c r="I13" s="2"/>
      <c r="J13" s="2"/>
      <c r="K13" s="2"/>
      <c r="L13" s="2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2"/>
      <c r="B14" s="2"/>
      <c r="C14" s="2"/>
      <c r="D14" s="2"/>
      <c r="E14" s="2"/>
      <c r="G14" s="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M22" s="2"/>
      <c r="N22" s="2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/>
      <c r="B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2"/>
      <c r="C29" s="2"/>
      <c r="D29" s="2"/>
      <c r="E29" s="2"/>
      <c r="F29" s="2"/>
      <c r="G29" s="2"/>
      <c r="H29" s="2"/>
      <c r="I29" s="3"/>
      <c r="J29" s="2"/>
      <c r="K29" s="2"/>
      <c r="L29" s="2"/>
      <c r="M29" s="2"/>
      <c r="N29" s="2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D4:J4"/>
    <mergeCell ref="A1:M1"/>
    <mergeCell ref="A2:B2"/>
    <mergeCell ref="D2:F2"/>
    <mergeCell ref="G2:J2"/>
    <mergeCell ref="L2:M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B1" workbookViewId="0">
      <selection activeCell="G9" sqref="G9"/>
    </sheetView>
  </sheetViews>
  <sheetFormatPr defaultColWidth="12.67578125" defaultRowHeight="15" customHeight="1" x14ac:dyDescent="0.15"/>
  <cols>
    <col min="1" max="1" width="5.66015625" customWidth="1"/>
    <col min="2" max="2" width="40.72265625" customWidth="1"/>
    <col min="3" max="9" width="15.640625" customWidth="1"/>
    <col min="10" max="26" width="11.4609375" customWidth="1"/>
  </cols>
  <sheetData>
    <row r="1" spans="1:26" ht="12.75" customHeight="1" x14ac:dyDescent="0.15">
      <c r="A1" s="2"/>
      <c r="B1" s="24" t="s">
        <v>11</v>
      </c>
      <c r="C1" s="25" t="str">
        <f>Concentrado!B5</f>
        <v>20233L001039</v>
      </c>
      <c r="D1" s="69" t="s">
        <v>12</v>
      </c>
      <c r="E1" s="70"/>
      <c r="F1" s="71" t="str">
        <f>Concentrado!C5</f>
        <v>Juan Gerardo Reyes Carrera</v>
      </c>
      <c r="G1" s="72"/>
      <c r="H1" s="72"/>
      <c r="I1" s="7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2"/>
      <c r="B2" s="24" t="s">
        <v>1</v>
      </c>
      <c r="C2" s="26" t="str">
        <f>GRADO</f>
        <v>8A-IDGS</v>
      </c>
      <c r="D2" s="69" t="s">
        <v>13</v>
      </c>
      <c r="E2" s="70"/>
      <c r="F2" s="26">
        <f>PARCIAL</f>
        <v>1</v>
      </c>
      <c r="G2" s="73" t="s">
        <v>14</v>
      </c>
      <c r="H2" s="70"/>
      <c r="I2" s="27">
        <f>FECHA</f>
        <v>45335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15">
      <c r="A4" s="74" t="s">
        <v>4</v>
      </c>
      <c r="B4" s="77" t="s">
        <v>15</v>
      </c>
      <c r="C4" s="76" t="s">
        <v>16</v>
      </c>
      <c r="D4" s="62"/>
      <c r="E4" s="76" t="s">
        <v>17</v>
      </c>
      <c r="F4" s="61"/>
      <c r="G4" s="62"/>
      <c r="H4" s="28" t="s">
        <v>18</v>
      </c>
      <c r="I4" s="28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" customHeight="1" x14ac:dyDescent="0.15">
      <c r="A5" s="75"/>
      <c r="B5" s="78"/>
      <c r="C5" s="29" t="s">
        <v>20</v>
      </c>
      <c r="D5" s="30" t="s">
        <v>21</v>
      </c>
      <c r="E5" s="29" t="s">
        <v>22</v>
      </c>
      <c r="F5" s="31" t="s">
        <v>23</v>
      </c>
      <c r="G5" s="30" t="s">
        <v>24</v>
      </c>
      <c r="H5" s="32" t="s">
        <v>25</v>
      </c>
      <c r="I5" s="3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33">
        <v>1</v>
      </c>
      <c r="B6" s="34" t="str">
        <f>Concentrado!C5</f>
        <v>Juan Gerardo Reyes Carrera</v>
      </c>
      <c r="C6" s="35"/>
      <c r="D6" s="36"/>
      <c r="E6" s="35"/>
      <c r="F6" s="37"/>
      <c r="G6" s="36"/>
      <c r="H6" s="38"/>
      <c r="I6" s="3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10">
        <v>2</v>
      </c>
      <c r="B7" s="39" t="str">
        <f>Concentrado!C6</f>
        <v>Hugo Martínez Vallejo</v>
      </c>
      <c r="C7" s="40">
        <v>11</v>
      </c>
      <c r="D7" s="41">
        <v>9</v>
      </c>
      <c r="E7" s="42">
        <v>9</v>
      </c>
      <c r="F7" s="42">
        <v>11</v>
      </c>
      <c r="G7" s="41">
        <v>11</v>
      </c>
      <c r="H7" s="41">
        <v>11</v>
      </c>
      <c r="I7" s="41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10">
        <v>3</v>
      </c>
      <c r="B8" s="39" t="str">
        <f>Concentrado!C7</f>
        <v>Ariana Belinda Pulido Solano</v>
      </c>
      <c r="C8" s="43">
        <v>10</v>
      </c>
      <c r="D8" s="44">
        <v>11</v>
      </c>
      <c r="E8" s="45">
        <v>11</v>
      </c>
      <c r="F8" s="45">
        <v>9</v>
      </c>
      <c r="G8" s="44">
        <v>10</v>
      </c>
      <c r="H8" s="44">
        <v>10</v>
      </c>
      <c r="I8" s="44">
        <v>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10">
        <v>4</v>
      </c>
      <c r="B9" s="39" t="str">
        <f>Concentrado!C8</f>
        <v xml:space="preserve">Elizabeth Vega Pacheco </v>
      </c>
      <c r="C9" s="43">
        <v>9</v>
      </c>
      <c r="D9" s="44">
        <v>10</v>
      </c>
      <c r="E9" s="45">
        <v>10</v>
      </c>
      <c r="F9" s="45">
        <v>10</v>
      </c>
      <c r="G9" s="44">
        <v>9</v>
      </c>
      <c r="H9" s="44">
        <v>9</v>
      </c>
      <c r="I9" s="44">
        <v>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10">
        <v>5</v>
      </c>
      <c r="B10" s="39">
        <f>Concentrado!C9</f>
        <v>0</v>
      </c>
      <c r="C10" s="46"/>
      <c r="D10" s="47"/>
      <c r="E10" s="46"/>
      <c r="F10" s="48"/>
      <c r="G10" s="47"/>
      <c r="H10" s="49"/>
      <c r="I10" s="4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10">
        <v>6</v>
      </c>
      <c r="B11" s="39">
        <f>Concentrado!C10</f>
        <v>0</v>
      </c>
      <c r="C11" s="46"/>
      <c r="D11" s="47"/>
      <c r="E11" s="46"/>
      <c r="F11" s="48"/>
      <c r="G11" s="47"/>
      <c r="H11" s="49"/>
      <c r="I11" s="4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9" t="s">
        <v>8</v>
      </c>
      <c r="B12" s="80"/>
      <c r="C12" s="50">
        <f>IF(SUM(C6:C11)=PUNTAJE,SUM(C6:C11),"ERROR")</f>
        <v>30</v>
      </c>
      <c r="D12" s="50">
        <f t="shared" ref="D12:I12" si="0">IF(SUM(D6:D11)=PUNTAJE,SUM(D6:D11),"ERROR")</f>
        <v>30</v>
      </c>
      <c r="E12" s="50">
        <f t="shared" si="0"/>
        <v>30</v>
      </c>
      <c r="F12" s="50">
        <f t="shared" si="0"/>
        <v>30</v>
      </c>
      <c r="G12" s="50">
        <f t="shared" si="0"/>
        <v>30</v>
      </c>
      <c r="H12" s="50">
        <f t="shared" si="0"/>
        <v>30</v>
      </c>
      <c r="I12" s="50">
        <f t="shared" si="0"/>
        <v>30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81" t="s">
        <v>27</v>
      </c>
      <c r="B14" s="64"/>
      <c r="C14" s="64"/>
      <c r="D14" s="64"/>
      <c r="E14" s="64"/>
      <c r="F14" s="64"/>
      <c r="G14" s="64"/>
      <c r="H14" s="64"/>
      <c r="I14" s="6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68" t="s">
        <v>28</v>
      </c>
      <c r="B15" s="64"/>
      <c r="C15" s="64"/>
      <c r="D15" s="64"/>
      <c r="E15" s="64"/>
      <c r="F15" s="64"/>
      <c r="G15" s="64"/>
      <c r="H15" s="64"/>
      <c r="I15" s="6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68" t="s">
        <v>29</v>
      </c>
      <c r="B16" s="64"/>
      <c r="C16" s="64"/>
      <c r="D16" s="64"/>
      <c r="E16" s="64"/>
      <c r="F16" s="64"/>
      <c r="G16" s="64"/>
      <c r="H16" s="64"/>
      <c r="I16" s="6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68" t="s">
        <v>30</v>
      </c>
      <c r="B17" s="64"/>
      <c r="C17" s="64"/>
      <c r="D17" s="64"/>
      <c r="E17" s="64"/>
      <c r="F17" s="64"/>
      <c r="G17" s="64"/>
      <c r="H17" s="64"/>
      <c r="I17" s="6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68"/>
      <c r="B18" s="64"/>
      <c r="C18" s="64"/>
      <c r="D18" s="64"/>
      <c r="E18" s="64"/>
      <c r="F18" s="64"/>
      <c r="G18" s="64"/>
      <c r="H18" s="64"/>
      <c r="I18" s="6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A17:I17"/>
    <mergeCell ref="A18:I18"/>
    <mergeCell ref="D1:E1"/>
    <mergeCell ref="F1:I1"/>
    <mergeCell ref="D2:E2"/>
    <mergeCell ref="G2:H2"/>
    <mergeCell ref="A4:A5"/>
    <mergeCell ref="C4:D4"/>
    <mergeCell ref="E4:G4"/>
    <mergeCell ref="B4:B5"/>
    <mergeCell ref="A12:B12"/>
    <mergeCell ref="A14:I14"/>
    <mergeCell ref="A15:I15"/>
    <mergeCell ref="A16:I1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G8" sqref="G8"/>
    </sheetView>
  </sheetViews>
  <sheetFormatPr defaultColWidth="12.67578125" defaultRowHeight="15" customHeight="1" x14ac:dyDescent="0.15"/>
  <cols>
    <col min="1" max="1" width="5.66015625" customWidth="1"/>
    <col min="2" max="2" width="40.72265625" customWidth="1"/>
    <col min="3" max="9" width="15.640625" customWidth="1"/>
    <col min="10" max="26" width="11.4609375" customWidth="1"/>
  </cols>
  <sheetData>
    <row r="1" spans="1:26" ht="12.75" customHeight="1" x14ac:dyDescent="0.15">
      <c r="A1" s="2"/>
      <c r="B1" s="24" t="s">
        <v>11</v>
      </c>
      <c r="C1" s="25" t="str">
        <f>Concentrado!B6</f>
        <v>20223l001099</v>
      </c>
      <c r="D1" s="69" t="s">
        <v>12</v>
      </c>
      <c r="E1" s="70"/>
      <c r="F1" s="71" t="str">
        <f>Concentrado!C6</f>
        <v>Hugo Martínez Vallejo</v>
      </c>
      <c r="G1" s="72"/>
      <c r="H1" s="72"/>
      <c r="I1" s="7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2"/>
      <c r="B2" s="24" t="s">
        <v>1</v>
      </c>
      <c r="C2" s="26" t="str">
        <f>GRADO</f>
        <v>8A-IDGS</v>
      </c>
      <c r="D2" s="69" t="s">
        <v>13</v>
      </c>
      <c r="E2" s="70"/>
      <c r="F2" s="26">
        <f>PARCIAL</f>
        <v>1</v>
      </c>
      <c r="G2" s="73" t="s">
        <v>14</v>
      </c>
      <c r="H2" s="70"/>
      <c r="I2" s="27">
        <f>FECHA</f>
        <v>45335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15">
      <c r="A4" s="74" t="s">
        <v>4</v>
      </c>
      <c r="B4" s="77" t="s">
        <v>15</v>
      </c>
      <c r="C4" s="76" t="s">
        <v>16</v>
      </c>
      <c r="D4" s="62"/>
      <c r="E4" s="76" t="s">
        <v>17</v>
      </c>
      <c r="F4" s="61"/>
      <c r="G4" s="62"/>
      <c r="H4" s="28" t="s">
        <v>18</v>
      </c>
      <c r="I4" s="28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" customHeight="1" x14ac:dyDescent="0.15">
      <c r="A5" s="75"/>
      <c r="B5" s="78"/>
      <c r="C5" s="29" t="s">
        <v>20</v>
      </c>
      <c r="D5" s="30" t="s">
        <v>21</v>
      </c>
      <c r="E5" s="29" t="s">
        <v>22</v>
      </c>
      <c r="F5" s="31" t="s">
        <v>23</v>
      </c>
      <c r="G5" s="30" t="s">
        <v>24</v>
      </c>
      <c r="H5" s="32" t="s">
        <v>25</v>
      </c>
      <c r="I5" s="3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10">
        <v>1</v>
      </c>
      <c r="B6" s="39" t="str">
        <f>Concentrado!C5</f>
        <v>Juan Gerardo Reyes Carrera</v>
      </c>
      <c r="C6" s="40">
        <v>11</v>
      </c>
      <c r="D6" s="41">
        <v>11</v>
      </c>
      <c r="E6" s="42">
        <v>9</v>
      </c>
      <c r="F6" s="42">
        <v>10</v>
      </c>
      <c r="G6" s="41">
        <v>10</v>
      </c>
      <c r="H6" s="41">
        <v>9</v>
      </c>
      <c r="I6" s="41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33">
        <v>2</v>
      </c>
      <c r="B7" s="34" t="str">
        <f>Concentrado!C6</f>
        <v>Hugo Martínez Vallejo</v>
      </c>
      <c r="C7" s="51"/>
      <c r="D7" s="52"/>
      <c r="E7" s="53"/>
      <c r="F7" s="53"/>
      <c r="G7" s="52"/>
      <c r="H7" s="52"/>
      <c r="I7" s="5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10">
        <v>3</v>
      </c>
      <c r="B8" s="39" t="str">
        <f>Concentrado!C7</f>
        <v>Ariana Belinda Pulido Solano</v>
      </c>
      <c r="C8" s="43">
        <v>9</v>
      </c>
      <c r="D8" s="44">
        <v>9</v>
      </c>
      <c r="E8" s="45">
        <v>11</v>
      </c>
      <c r="F8" s="45">
        <v>11</v>
      </c>
      <c r="G8" s="44">
        <v>9</v>
      </c>
      <c r="H8" s="44">
        <v>11</v>
      </c>
      <c r="I8" s="44">
        <v>10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10">
        <v>4</v>
      </c>
      <c r="B9" s="39" t="str">
        <f>Concentrado!C8</f>
        <v xml:space="preserve">Elizabeth Vega Pacheco </v>
      </c>
      <c r="C9" s="43">
        <v>10</v>
      </c>
      <c r="D9" s="44">
        <v>10</v>
      </c>
      <c r="E9" s="45">
        <v>10</v>
      </c>
      <c r="F9" s="45">
        <v>9</v>
      </c>
      <c r="G9" s="44">
        <v>11</v>
      </c>
      <c r="H9" s="44">
        <v>10</v>
      </c>
      <c r="I9" s="44">
        <v>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10">
        <v>5</v>
      </c>
      <c r="B10" s="39">
        <f>Concentrado!C9</f>
        <v>0</v>
      </c>
      <c r="C10" s="46"/>
      <c r="D10" s="47"/>
      <c r="E10" s="46"/>
      <c r="F10" s="48"/>
      <c r="G10" s="47"/>
      <c r="H10" s="49"/>
      <c r="I10" s="4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10">
        <v>6</v>
      </c>
      <c r="B11" s="39">
        <f>Concentrado!C10</f>
        <v>0</v>
      </c>
      <c r="C11" s="46"/>
      <c r="D11" s="47"/>
      <c r="E11" s="46"/>
      <c r="F11" s="48"/>
      <c r="G11" s="47"/>
      <c r="H11" s="49"/>
      <c r="I11" s="4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9" t="s">
        <v>8</v>
      </c>
      <c r="B12" s="80"/>
      <c r="C12" s="50">
        <f t="shared" ref="C12:I12" si="0">IF(SUM(C6:C11)=PUNTAJE,SUM(C6:C11),"ERROR")</f>
        <v>30</v>
      </c>
      <c r="D12" s="50">
        <f t="shared" si="0"/>
        <v>30</v>
      </c>
      <c r="E12" s="50">
        <f t="shared" si="0"/>
        <v>30</v>
      </c>
      <c r="F12" s="50">
        <f t="shared" si="0"/>
        <v>30</v>
      </c>
      <c r="G12" s="50">
        <f t="shared" si="0"/>
        <v>30</v>
      </c>
      <c r="H12" s="50">
        <f t="shared" si="0"/>
        <v>30</v>
      </c>
      <c r="I12" s="50">
        <f t="shared" si="0"/>
        <v>30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81" t="s">
        <v>27</v>
      </c>
      <c r="B14" s="64"/>
      <c r="C14" s="64"/>
      <c r="D14" s="64"/>
      <c r="E14" s="64"/>
      <c r="F14" s="64"/>
      <c r="G14" s="64"/>
      <c r="H14" s="64"/>
      <c r="I14" s="6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68" t="s">
        <v>28</v>
      </c>
      <c r="B15" s="64"/>
      <c r="C15" s="64"/>
      <c r="D15" s="64"/>
      <c r="E15" s="64"/>
      <c r="F15" s="64"/>
      <c r="G15" s="64"/>
      <c r="H15" s="64"/>
      <c r="I15" s="6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68" t="s">
        <v>29</v>
      </c>
      <c r="B16" s="64"/>
      <c r="C16" s="64"/>
      <c r="D16" s="64"/>
      <c r="E16" s="64"/>
      <c r="F16" s="64"/>
      <c r="G16" s="64"/>
      <c r="H16" s="64"/>
      <c r="I16" s="6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68" t="s">
        <v>30</v>
      </c>
      <c r="B17" s="64"/>
      <c r="C17" s="64"/>
      <c r="D17" s="64"/>
      <c r="E17" s="64"/>
      <c r="F17" s="64"/>
      <c r="G17" s="64"/>
      <c r="H17" s="64"/>
      <c r="I17" s="6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7:I17"/>
    <mergeCell ref="D1:E1"/>
    <mergeCell ref="F1:I1"/>
    <mergeCell ref="D2:E2"/>
    <mergeCell ref="G2:H2"/>
    <mergeCell ref="A4:A5"/>
    <mergeCell ref="C4:D4"/>
    <mergeCell ref="E4:G4"/>
    <mergeCell ref="B4:B5"/>
    <mergeCell ref="A12:B12"/>
    <mergeCell ref="A14:I14"/>
    <mergeCell ref="A15:I15"/>
    <mergeCell ref="A16:I1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B1" workbookViewId="0">
      <selection activeCell="H7" sqref="H7"/>
    </sheetView>
  </sheetViews>
  <sheetFormatPr defaultColWidth="12.67578125" defaultRowHeight="15" customHeight="1" x14ac:dyDescent="0.15"/>
  <cols>
    <col min="1" max="1" width="5.66015625" customWidth="1"/>
    <col min="2" max="2" width="40.72265625" customWidth="1"/>
    <col min="3" max="9" width="15.640625" customWidth="1"/>
    <col min="10" max="26" width="11.4609375" customWidth="1"/>
  </cols>
  <sheetData>
    <row r="1" spans="1:26" ht="12.75" customHeight="1" x14ac:dyDescent="0.15">
      <c r="A1" s="2"/>
      <c r="B1" s="24" t="s">
        <v>11</v>
      </c>
      <c r="C1" s="25" t="str">
        <f>Concentrado!B7</f>
        <v>20223L001004</v>
      </c>
      <c r="D1" s="69" t="s">
        <v>12</v>
      </c>
      <c r="E1" s="70"/>
      <c r="F1" s="71" t="str">
        <f>Concentrado!C7</f>
        <v>Ariana Belinda Pulido Solano</v>
      </c>
      <c r="G1" s="72"/>
      <c r="H1" s="72"/>
      <c r="I1" s="7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2"/>
      <c r="B2" s="24" t="s">
        <v>1</v>
      </c>
      <c r="C2" s="26" t="str">
        <f>GRADO</f>
        <v>8A-IDGS</v>
      </c>
      <c r="D2" s="69" t="s">
        <v>13</v>
      </c>
      <c r="E2" s="70"/>
      <c r="F2" s="26">
        <f>PARCIAL</f>
        <v>1</v>
      </c>
      <c r="G2" s="73" t="s">
        <v>14</v>
      </c>
      <c r="H2" s="70"/>
      <c r="I2" s="27">
        <f>FECHA</f>
        <v>45335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15">
      <c r="A4" s="74" t="s">
        <v>4</v>
      </c>
      <c r="B4" s="77" t="s">
        <v>15</v>
      </c>
      <c r="C4" s="76" t="s">
        <v>16</v>
      </c>
      <c r="D4" s="62"/>
      <c r="E4" s="76" t="s">
        <v>17</v>
      </c>
      <c r="F4" s="61"/>
      <c r="G4" s="62"/>
      <c r="H4" s="28" t="s">
        <v>18</v>
      </c>
      <c r="I4" s="28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" customHeight="1" x14ac:dyDescent="0.15">
      <c r="A5" s="75"/>
      <c r="B5" s="78"/>
      <c r="C5" s="29" t="s">
        <v>20</v>
      </c>
      <c r="D5" s="30" t="s">
        <v>21</v>
      </c>
      <c r="E5" s="29" t="s">
        <v>22</v>
      </c>
      <c r="F5" s="31" t="s">
        <v>23</v>
      </c>
      <c r="G5" s="30" t="s">
        <v>24</v>
      </c>
      <c r="H5" s="32" t="s">
        <v>25</v>
      </c>
      <c r="I5" s="3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10">
        <v>1</v>
      </c>
      <c r="B6" s="39" t="str">
        <f>Concentrado!C5</f>
        <v>Juan Gerardo Reyes Carrera</v>
      </c>
      <c r="C6" s="54">
        <v>10</v>
      </c>
      <c r="D6" s="41">
        <v>10</v>
      </c>
      <c r="E6" s="41">
        <v>10</v>
      </c>
      <c r="F6" s="41">
        <v>11</v>
      </c>
      <c r="G6" s="41">
        <v>10</v>
      </c>
      <c r="H6" s="41">
        <v>10</v>
      </c>
      <c r="I6" s="42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10">
        <v>2</v>
      </c>
      <c r="B7" s="39" t="str">
        <f>Concentrado!C6</f>
        <v>Hugo Martínez Vallejo</v>
      </c>
      <c r="C7" s="55">
        <v>9</v>
      </c>
      <c r="D7" s="44">
        <v>9</v>
      </c>
      <c r="E7" s="44">
        <v>11</v>
      </c>
      <c r="F7" s="44">
        <v>9</v>
      </c>
      <c r="G7" s="44">
        <v>9</v>
      </c>
      <c r="H7" s="44">
        <v>9</v>
      </c>
      <c r="I7" s="45">
        <v>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33">
        <v>3</v>
      </c>
      <c r="B8" s="34" t="str">
        <f>Concentrado!C7</f>
        <v>Ariana Belinda Pulido Solano</v>
      </c>
      <c r="C8" s="51"/>
      <c r="D8" s="52"/>
      <c r="E8" s="53"/>
      <c r="F8" s="53"/>
      <c r="G8" s="52"/>
      <c r="H8" s="52"/>
      <c r="I8" s="5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10">
        <v>4</v>
      </c>
      <c r="B9" s="39" t="str">
        <f>Concentrado!C8</f>
        <v xml:space="preserve">Elizabeth Vega Pacheco </v>
      </c>
      <c r="C9" s="55">
        <v>11</v>
      </c>
      <c r="D9" s="44">
        <v>11</v>
      </c>
      <c r="E9" s="44">
        <v>9</v>
      </c>
      <c r="F9" s="44">
        <v>10</v>
      </c>
      <c r="G9" s="44">
        <v>11</v>
      </c>
      <c r="H9" s="44">
        <v>11</v>
      </c>
      <c r="I9" s="45">
        <v>10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10">
        <v>5</v>
      </c>
      <c r="B10" s="39">
        <f>Concentrado!C9</f>
        <v>0</v>
      </c>
      <c r="C10" s="46"/>
      <c r="D10" s="46"/>
      <c r="E10" s="46"/>
      <c r="F10" s="46"/>
      <c r="G10" s="46"/>
      <c r="H10" s="46"/>
      <c r="I10" s="4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10">
        <v>6</v>
      </c>
      <c r="B11" s="39">
        <f>Concentrado!C10</f>
        <v>0</v>
      </c>
      <c r="C11" s="46"/>
      <c r="D11" s="46"/>
      <c r="E11" s="46"/>
      <c r="F11" s="46"/>
      <c r="G11" s="46"/>
      <c r="H11" s="46"/>
      <c r="I11" s="4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9" t="s">
        <v>8</v>
      </c>
      <c r="B12" s="80"/>
      <c r="C12" s="50">
        <f t="shared" ref="C12:I12" si="0">IF(SUM(C6:C11)=PUNTAJE,SUM(C6:C11),"ERROR")</f>
        <v>30</v>
      </c>
      <c r="D12" s="50">
        <f t="shared" si="0"/>
        <v>30</v>
      </c>
      <c r="E12" s="50">
        <f t="shared" si="0"/>
        <v>30</v>
      </c>
      <c r="F12" s="50">
        <f t="shared" si="0"/>
        <v>30</v>
      </c>
      <c r="G12" s="50">
        <f t="shared" si="0"/>
        <v>30</v>
      </c>
      <c r="H12" s="50">
        <f t="shared" si="0"/>
        <v>30</v>
      </c>
      <c r="I12" s="50">
        <f t="shared" si="0"/>
        <v>30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81" t="s">
        <v>27</v>
      </c>
      <c r="B14" s="64"/>
      <c r="C14" s="64"/>
      <c r="D14" s="64"/>
      <c r="E14" s="64"/>
      <c r="F14" s="64"/>
      <c r="G14" s="64"/>
      <c r="H14" s="64"/>
      <c r="I14" s="6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68" t="s">
        <v>28</v>
      </c>
      <c r="B15" s="64"/>
      <c r="C15" s="64"/>
      <c r="D15" s="64"/>
      <c r="E15" s="64"/>
      <c r="F15" s="64"/>
      <c r="G15" s="64"/>
      <c r="H15" s="64"/>
      <c r="I15" s="6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68" t="s">
        <v>29</v>
      </c>
      <c r="B16" s="64"/>
      <c r="C16" s="64"/>
      <c r="D16" s="64"/>
      <c r="E16" s="64"/>
      <c r="F16" s="64"/>
      <c r="G16" s="64"/>
      <c r="H16" s="64"/>
      <c r="I16" s="6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68" t="s">
        <v>30</v>
      </c>
      <c r="B17" s="64"/>
      <c r="C17" s="64"/>
      <c r="D17" s="64"/>
      <c r="E17" s="64"/>
      <c r="F17" s="64"/>
      <c r="G17" s="64"/>
      <c r="H17" s="64"/>
      <c r="I17" s="6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7:I17"/>
    <mergeCell ref="D1:E1"/>
    <mergeCell ref="F1:I1"/>
    <mergeCell ref="D2:E2"/>
    <mergeCell ref="G2:H2"/>
    <mergeCell ref="A4:A5"/>
    <mergeCell ref="C4:D4"/>
    <mergeCell ref="E4:G4"/>
    <mergeCell ref="B4:B5"/>
    <mergeCell ref="A12:B12"/>
    <mergeCell ref="A14:I14"/>
    <mergeCell ref="A15:I15"/>
    <mergeCell ref="A16:I1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D8" sqref="D8"/>
    </sheetView>
  </sheetViews>
  <sheetFormatPr defaultColWidth="12.67578125" defaultRowHeight="15" customHeight="1" x14ac:dyDescent="0.15"/>
  <cols>
    <col min="1" max="1" width="5.66015625" customWidth="1"/>
    <col min="2" max="2" width="40.72265625" customWidth="1"/>
    <col min="3" max="9" width="15.640625" customWidth="1"/>
    <col min="10" max="26" width="11.4609375" customWidth="1"/>
  </cols>
  <sheetData>
    <row r="1" spans="1:26" ht="12.75" customHeight="1" x14ac:dyDescent="0.15">
      <c r="A1" s="2"/>
      <c r="B1" s="24" t="s">
        <v>11</v>
      </c>
      <c r="C1" s="25" t="str">
        <f>Concentrado!B8</f>
        <v>20223l001092</v>
      </c>
      <c r="D1" s="69" t="s">
        <v>12</v>
      </c>
      <c r="E1" s="70"/>
      <c r="F1" s="71" t="str">
        <f>Concentrado!C8</f>
        <v xml:space="preserve">Elizabeth Vega Pacheco </v>
      </c>
      <c r="G1" s="72"/>
      <c r="H1" s="72"/>
      <c r="I1" s="7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2"/>
      <c r="B2" s="24" t="s">
        <v>1</v>
      </c>
      <c r="C2" s="26" t="str">
        <f>GRADO</f>
        <v>8A-IDGS</v>
      </c>
      <c r="D2" s="69" t="s">
        <v>13</v>
      </c>
      <c r="E2" s="70"/>
      <c r="F2" s="26">
        <f>PARCIAL</f>
        <v>1</v>
      </c>
      <c r="G2" s="73" t="s">
        <v>14</v>
      </c>
      <c r="H2" s="70"/>
      <c r="I2" s="27">
        <f>FECHA</f>
        <v>45335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15">
      <c r="A4" s="74" t="s">
        <v>4</v>
      </c>
      <c r="B4" s="77" t="s">
        <v>15</v>
      </c>
      <c r="C4" s="76" t="s">
        <v>16</v>
      </c>
      <c r="D4" s="62"/>
      <c r="E4" s="76" t="s">
        <v>17</v>
      </c>
      <c r="F4" s="61"/>
      <c r="G4" s="62"/>
      <c r="H4" s="28" t="s">
        <v>18</v>
      </c>
      <c r="I4" s="28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" customHeight="1" x14ac:dyDescent="0.15">
      <c r="A5" s="75"/>
      <c r="B5" s="78"/>
      <c r="C5" s="29" t="s">
        <v>20</v>
      </c>
      <c r="D5" s="30" t="s">
        <v>21</v>
      </c>
      <c r="E5" s="29" t="s">
        <v>22</v>
      </c>
      <c r="F5" s="31" t="s">
        <v>23</v>
      </c>
      <c r="G5" s="30" t="s">
        <v>24</v>
      </c>
      <c r="H5" s="32" t="s">
        <v>25</v>
      </c>
      <c r="I5" s="3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10">
        <v>1</v>
      </c>
      <c r="B6" s="39" t="str">
        <f>Concentrado!C5</f>
        <v>Juan Gerardo Reyes Carrera</v>
      </c>
      <c r="C6" s="40">
        <v>9</v>
      </c>
      <c r="D6" s="41">
        <v>9</v>
      </c>
      <c r="E6" s="42">
        <v>10</v>
      </c>
      <c r="F6" s="42">
        <v>9</v>
      </c>
      <c r="G6" s="41">
        <v>11</v>
      </c>
      <c r="H6" s="41">
        <v>9</v>
      </c>
      <c r="I6" s="41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10">
        <v>2</v>
      </c>
      <c r="B7" s="39" t="str">
        <f>Concentrado!C6</f>
        <v>Hugo Martínez Vallejo</v>
      </c>
      <c r="C7" s="43">
        <v>10</v>
      </c>
      <c r="D7" s="44">
        <v>11</v>
      </c>
      <c r="E7" s="45">
        <v>11</v>
      </c>
      <c r="F7" s="45">
        <v>11</v>
      </c>
      <c r="G7" s="44">
        <v>9</v>
      </c>
      <c r="H7" s="44">
        <v>10</v>
      </c>
      <c r="I7" s="44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10">
        <v>3</v>
      </c>
      <c r="B8" s="39" t="str">
        <f>Concentrado!C7</f>
        <v>Ariana Belinda Pulido Solano</v>
      </c>
      <c r="C8" s="43">
        <v>11</v>
      </c>
      <c r="D8" s="44">
        <v>10</v>
      </c>
      <c r="E8" s="45">
        <v>9</v>
      </c>
      <c r="F8" s="45">
        <v>10</v>
      </c>
      <c r="G8" s="44">
        <v>10</v>
      </c>
      <c r="H8" s="44">
        <v>11</v>
      </c>
      <c r="I8" s="44">
        <v>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33">
        <v>4</v>
      </c>
      <c r="B9" s="34" t="str">
        <f>Concentrado!C8</f>
        <v xml:space="preserve">Elizabeth Vega Pacheco </v>
      </c>
      <c r="C9" s="34"/>
      <c r="D9" s="36"/>
      <c r="E9" s="35"/>
      <c r="F9" s="37"/>
      <c r="G9" s="36"/>
      <c r="H9" s="38"/>
      <c r="I9" s="3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39">
        <v>5</v>
      </c>
      <c r="B10" s="39">
        <f>Concentrado!C9</f>
        <v>0</v>
      </c>
      <c r="C10" s="46"/>
      <c r="D10" s="47"/>
      <c r="E10" s="46"/>
      <c r="F10" s="48"/>
      <c r="G10" s="47"/>
      <c r="H10" s="49"/>
      <c r="I10" s="4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10">
        <v>6</v>
      </c>
      <c r="B11" s="39">
        <f>Concentrado!C10</f>
        <v>0</v>
      </c>
      <c r="C11" s="46"/>
      <c r="D11" s="47"/>
      <c r="E11" s="46"/>
      <c r="F11" s="48"/>
      <c r="G11" s="47"/>
      <c r="H11" s="49"/>
      <c r="I11" s="4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9" t="s">
        <v>8</v>
      </c>
      <c r="B12" s="80"/>
      <c r="C12" s="50">
        <f t="shared" ref="C12:I12" si="0">IF(SUM(C6:C11)=PUNTAJE,SUM(C6:C11),"ERROR")</f>
        <v>30</v>
      </c>
      <c r="D12" s="50">
        <f t="shared" si="0"/>
        <v>30</v>
      </c>
      <c r="E12" s="50">
        <f t="shared" si="0"/>
        <v>30</v>
      </c>
      <c r="F12" s="50">
        <f t="shared" si="0"/>
        <v>30</v>
      </c>
      <c r="G12" s="50">
        <f t="shared" si="0"/>
        <v>30</v>
      </c>
      <c r="H12" s="50">
        <f t="shared" si="0"/>
        <v>30</v>
      </c>
      <c r="I12" s="50">
        <f t="shared" si="0"/>
        <v>30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81" t="s">
        <v>27</v>
      </c>
      <c r="B14" s="64"/>
      <c r="C14" s="64"/>
      <c r="D14" s="64"/>
      <c r="E14" s="64"/>
      <c r="F14" s="64"/>
      <c r="G14" s="64"/>
      <c r="H14" s="64"/>
      <c r="I14" s="6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68" t="s">
        <v>28</v>
      </c>
      <c r="B15" s="64"/>
      <c r="C15" s="64"/>
      <c r="D15" s="64"/>
      <c r="E15" s="64"/>
      <c r="F15" s="64"/>
      <c r="G15" s="64"/>
      <c r="H15" s="64"/>
      <c r="I15" s="6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68" t="s">
        <v>29</v>
      </c>
      <c r="B16" s="64"/>
      <c r="C16" s="64"/>
      <c r="D16" s="64"/>
      <c r="E16" s="64"/>
      <c r="F16" s="64"/>
      <c r="G16" s="64"/>
      <c r="H16" s="64"/>
      <c r="I16" s="6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68" t="s">
        <v>30</v>
      </c>
      <c r="B17" s="64"/>
      <c r="C17" s="64"/>
      <c r="D17" s="64"/>
      <c r="E17" s="64"/>
      <c r="F17" s="64"/>
      <c r="G17" s="64"/>
      <c r="H17" s="64"/>
      <c r="I17" s="6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7:I17"/>
    <mergeCell ref="D1:E1"/>
    <mergeCell ref="F1:I1"/>
    <mergeCell ref="D2:E2"/>
    <mergeCell ref="G2:H2"/>
    <mergeCell ref="A4:A5"/>
    <mergeCell ref="C4:D4"/>
    <mergeCell ref="E4:G4"/>
    <mergeCell ref="B4:B5"/>
    <mergeCell ref="A12:B12"/>
    <mergeCell ref="A14:I14"/>
    <mergeCell ref="A15:I15"/>
    <mergeCell ref="A16:I1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7578125" defaultRowHeight="15" customHeight="1" x14ac:dyDescent="0.15"/>
  <cols>
    <col min="1" max="1" width="5.66015625" customWidth="1"/>
    <col min="2" max="2" width="40.72265625" customWidth="1"/>
    <col min="3" max="9" width="15.640625" customWidth="1"/>
    <col min="10" max="26" width="11.4609375" customWidth="1"/>
  </cols>
  <sheetData>
    <row r="1" spans="1:26" ht="12.75" customHeight="1" x14ac:dyDescent="0.15">
      <c r="A1" s="2"/>
      <c r="B1" s="24" t="s">
        <v>11</v>
      </c>
      <c r="C1" s="25">
        <f>Concentrado!B10</f>
        <v>0</v>
      </c>
      <c r="D1" s="69" t="s">
        <v>12</v>
      </c>
      <c r="E1" s="70"/>
      <c r="F1" s="71">
        <f>Concentrado!C9</f>
        <v>0</v>
      </c>
      <c r="G1" s="72"/>
      <c r="H1" s="72"/>
      <c r="I1" s="7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2"/>
      <c r="B2" s="24" t="s">
        <v>1</v>
      </c>
      <c r="C2" s="26" t="str">
        <f>GRADO</f>
        <v>8A-IDGS</v>
      </c>
      <c r="D2" s="69" t="s">
        <v>13</v>
      </c>
      <c r="E2" s="70"/>
      <c r="F2" s="26">
        <f>PARCIAL</f>
        <v>1</v>
      </c>
      <c r="G2" s="73" t="s">
        <v>14</v>
      </c>
      <c r="H2" s="70"/>
      <c r="I2" s="27">
        <f>FECHA</f>
        <v>45335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15">
      <c r="A4" s="74" t="s">
        <v>4</v>
      </c>
      <c r="B4" s="77" t="s">
        <v>15</v>
      </c>
      <c r="C4" s="76" t="s">
        <v>16</v>
      </c>
      <c r="D4" s="62"/>
      <c r="E4" s="76" t="s">
        <v>17</v>
      </c>
      <c r="F4" s="61"/>
      <c r="G4" s="62"/>
      <c r="H4" s="28" t="s">
        <v>18</v>
      </c>
      <c r="I4" s="28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" customHeight="1" x14ac:dyDescent="0.15">
      <c r="A5" s="75"/>
      <c r="B5" s="78"/>
      <c r="C5" s="29" t="s">
        <v>20</v>
      </c>
      <c r="D5" s="30" t="s">
        <v>21</v>
      </c>
      <c r="E5" s="29" t="s">
        <v>22</v>
      </c>
      <c r="F5" s="31" t="s">
        <v>23</v>
      </c>
      <c r="G5" s="30" t="s">
        <v>24</v>
      </c>
      <c r="H5" s="32" t="s">
        <v>25</v>
      </c>
      <c r="I5" s="3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10">
        <v>1</v>
      </c>
      <c r="B6" s="39" t="str">
        <f>Concentrado!C5</f>
        <v>Juan Gerardo Reyes Carrera</v>
      </c>
      <c r="C6" s="46"/>
      <c r="D6" s="47"/>
      <c r="E6" s="46"/>
      <c r="F6" s="48"/>
      <c r="G6" s="47"/>
      <c r="H6" s="49"/>
      <c r="I6" s="4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10">
        <v>2</v>
      </c>
      <c r="B7" s="39" t="str">
        <f>Concentrado!C6</f>
        <v>Hugo Martínez Vallejo</v>
      </c>
      <c r="C7" s="46"/>
      <c r="D7" s="47"/>
      <c r="E7" s="46"/>
      <c r="F7" s="48"/>
      <c r="G7" s="47"/>
      <c r="H7" s="49"/>
      <c r="I7" s="4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10">
        <v>3</v>
      </c>
      <c r="B8" s="39" t="str">
        <f>Concentrado!C7</f>
        <v>Ariana Belinda Pulido Solano</v>
      </c>
      <c r="C8" s="46"/>
      <c r="D8" s="47"/>
      <c r="E8" s="46"/>
      <c r="F8" s="48"/>
      <c r="G8" s="47"/>
      <c r="H8" s="49"/>
      <c r="I8" s="4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10">
        <v>4</v>
      </c>
      <c r="B9" s="39" t="str">
        <f>Concentrado!C8</f>
        <v xml:space="preserve">Elizabeth Vega Pacheco </v>
      </c>
      <c r="C9" s="46"/>
      <c r="D9" s="47"/>
      <c r="E9" s="46"/>
      <c r="F9" s="48"/>
      <c r="G9" s="47"/>
      <c r="H9" s="49"/>
      <c r="I9" s="4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33">
        <v>5</v>
      </c>
      <c r="B10" s="34">
        <f>Concentrado!C9</f>
        <v>0</v>
      </c>
      <c r="C10" s="35"/>
      <c r="D10" s="36"/>
      <c r="E10" s="35"/>
      <c r="F10" s="37"/>
      <c r="G10" s="36"/>
      <c r="H10" s="38"/>
      <c r="I10" s="3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10">
        <v>6</v>
      </c>
      <c r="B11" s="39">
        <f>Concentrado!C10</f>
        <v>0</v>
      </c>
      <c r="C11" s="46"/>
      <c r="D11" s="47"/>
      <c r="E11" s="46"/>
      <c r="F11" s="48"/>
      <c r="G11" s="47"/>
      <c r="H11" s="49"/>
      <c r="I11" s="4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9" t="s">
        <v>8</v>
      </c>
      <c r="B12" s="80"/>
      <c r="C12" s="50" t="str">
        <f t="shared" ref="C12:J12" si="0">IF(SUM(C6:C11)=PUNTAJE,SUM(C6:C11),"ERROR")</f>
        <v>ERROR</v>
      </c>
      <c r="D12" s="50" t="str">
        <f t="shared" si="0"/>
        <v>ERROR</v>
      </c>
      <c r="E12" s="50" t="str">
        <f t="shared" si="0"/>
        <v>ERROR</v>
      </c>
      <c r="F12" s="50" t="str">
        <f t="shared" si="0"/>
        <v>ERROR</v>
      </c>
      <c r="G12" s="50" t="str">
        <f t="shared" si="0"/>
        <v>ERROR</v>
      </c>
      <c r="H12" s="50" t="str">
        <f t="shared" si="0"/>
        <v>ERROR</v>
      </c>
      <c r="I12" s="50" t="str">
        <f t="shared" si="0"/>
        <v>ERROR</v>
      </c>
      <c r="J12" s="50" t="str">
        <f t="shared" si="0"/>
        <v>ERROR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81" t="s">
        <v>27</v>
      </c>
      <c r="B14" s="64"/>
      <c r="C14" s="64"/>
      <c r="D14" s="64"/>
      <c r="E14" s="64"/>
      <c r="F14" s="64"/>
      <c r="G14" s="64"/>
      <c r="H14" s="64"/>
      <c r="I14" s="6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68" t="s">
        <v>28</v>
      </c>
      <c r="B15" s="64"/>
      <c r="C15" s="64"/>
      <c r="D15" s="64"/>
      <c r="E15" s="64"/>
      <c r="F15" s="64"/>
      <c r="G15" s="64"/>
      <c r="H15" s="64"/>
      <c r="I15" s="6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68" t="s">
        <v>29</v>
      </c>
      <c r="B16" s="64"/>
      <c r="C16" s="64"/>
      <c r="D16" s="64"/>
      <c r="E16" s="64"/>
      <c r="F16" s="64"/>
      <c r="G16" s="64"/>
      <c r="H16" s="64"/>
      <c r="I16" s="6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68" t="s">
        <v>30</v>
      </c>
      <c r="B17" s="64"/>
      <c r="C17" s="64"/>
      <c r="D17" s="64"/>
      <c r="E17" s="64"/>
      <c r="F17" s="64"/>
      <c r="G17" s="64"/>
      <c r="H17" s="64"/>
      <c r="I17" s="6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7:I17"/>
    <mergeCell ref="D1:E1"/>
    <mergeCell ref="F1:I1"/>
    <mergeCell ref="D2:E2"/>
    <mergeCell ref="G2:H2"/>
    <mergeCell ref="A4:A5"/>
    <mergeCell ref="C4:D4"/>
    <mergeCell ref="E4:G4"/>
    <mergeCell ref="B4:B5"/>
    <mergeCell ref="A12:B12"/>
    <mergeCell ref="A14:I14"/>
    <mergeCell ref="A15:I15"/>
    <mergeCell ref="A16:I1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67578125" defaultRowHeight="15" customHeight="1" x14ac:dyDescent="0.15"/>
  <cols>
    <col min="1" max="1" width="5.66015625" customWidth="1"/>
    <col min="2" max="2" width="40.72265625" customWidth="1"/>
    <col min="3" max="9" width="15.640625" customWidth="1"/>
    <col min="10" max="26" width="11.4609375" customWidth="1"/>
  </cols>
  <sheetData>
    <row r="1" spans="1:26" ht="12.75" customHeight="1" x14ac:dyDescent="0.15">
      <c r="A1" s="2"/>
      <c r="B1" s="24" t="s">
        <v>11</v>
      </c>
      <c r="C1" s="25">
        <f>Concentrado!B10</f>
        <v>0</v>
      </c>
      <c r="D1" s="69" t="s">
        <v>12</v>
      </c>
      <c r="E1" s="70"/>
      <c r="F1" s="71">
        <f>Concentrado!C10</f>
        <v>0</v>
      </c>
      <c r="G1" s="72"/>
      <c r="H1" s="72"/>
      <c r="I1" s="7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2"/>
      <c r="B2" s="24" t="s">
        <v>1</v>
      </c>
      <c r="C2" s="26" t="str">
        <f>GRADO</f>
        <v>8A-IDGS</v>
      </c>
      <c r="D2" s="69" t="s">
        <v>13</v>
      </c>
      <c r="E2" s="70"/>
      <c r="F2" s="26">
        <f>PARCIAL</f>
        <v>1</v>
      </c>
      <c r="G2" s="73" t="s">
        <v>14</v>
      </c>
      <c r="H2" s="70"/>
      <c r="I2" s="27">
        <f>FECHA</f>
        <v>45335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15">
      <c r="A4" s="74" t="s">
        <v>4</v>
      </c>
      <c r="B4" s="77" t="s">
        <v>15</v>
      </c>
      <c r="C4" s="76" t="s">
        <v>16</v>
      </c>
      <c r="D4" s="62"/>
      <c r="E4" s="76" t="s">
        <v>17</v>
      </c>
      <c r="F4" s="61"/>
      <c r="G4" s="62"/>
      <c r="H4" s="28" t="s">
        <v>18</v>
      </c>
      <c r="I4" s="28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" customHeight="1" x14ac:dyDescent="0.15">
      <c r="A5" s="75"/>
      <c r="B5" s="78"/>
      <c r="C5" s="29" t="s">
        <v>20</v>
      </c>
      <c r="D5" s="30" t="s">
        <v>21</v>
      </c>
      <c r="E5" s="29" t="s">
        <v>22</v>
      </c>
      <c r="F5" s="31" t="s">
        <v>23</v>
      </c>
      <c r="G5" s="30" t="s">
        <v>24</v>
      </c>
      <c r="H5" s="32" t="s">
        <v>25</v>
      </c>
      <c r="I5" s="3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10">
        <v>1</v>
      </c>
      <c r="B6" s="39" t="str">
        <f>Concentrado!C5</f>
        <v>Juan Gerardo Reyes Carrera</v>
      </c>
      <c r="C6" s="46"/>
      <c r="D6" s="47"/>
      <c r="E6" s="46"/>
      <c r="F6" s="48"/>
      <c r="G6" s="47"/>
      <c r="H6" s="49"/>
      <c r="I6" s="49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10">
        <v>2</v>
      </c>
      <c r="B7" s="39" t="str">
        <f>Concentrado!C6</f>
        <v>Hugo Martínez Vallejo</v>
      </c>
      <c r="C7" s="46"/>
      <c r="D7" s="47"/>
      <c r="E7" s="46"/>
      <c r="F7" s="48"/>
      <c r="G7" s="47"/>
      <c r="H7" s="49"/>
      <c r="I7" s="4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10">
        <v>3</v>
      </c>
      <c r="B8" s="39" t="str">
        <f>Concentrado!C7</f>
        <v>Ariana Belinda Pulido Solano</v>
      </c>
      <c r="C8" s="46"/>
      <c r="D8" s="47"/>
      <c r="E8" s="46"/>
      <c r="F8" s="48"/>
      <c r="G8" s="47"/>
      <c r="H8" s="49"/>
      <c r="I8" s="4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10">
        <v>4</v>
      </c>
      <c r="B9" s="39" t="str">
        <f>Concentrado!C8</f>
        <v xml:space="preserve">Elizabeth Vega Pacheco </v>
      </c>
      <c r="C9" s="46"/>
      <c r="D9" s="47"/>
      <c r="E9" s="46"/>
      <c r="F9" s="48"/>
      <c r="G9" s="47"/>
      <c r="H9" s="49"/>
      <c r="I9" s="4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10">
        <v>5</v>
      </c>
      <c r="B10" s="39">
        <f>Concentrado!C9</f>
        <v>0</v>
      </c>
      <c r="C10" s="46"/>
      <c r="D10" s="47"/>
      <c r="E10" s="46"/>
      <c r="F10" s="48"/>
      <c r="G10" s="47"/>
      <c r="H10" s="49"/>
      <c r="I10" s="4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33">
        <v>6</v>
      </c>
      <c r="B11" s="34">
        <f>Concentrado!C10</f>
        <v>0</v>
      </c>
      <c r="C11" s="35"/>
      <c r="D11" s="36"/>
      <c r="E11" s="35"/>
      <c r="F11" s="37"/>
      <c r="G11" s="36"/>
      <c r="H11" s="38"/>
      <c r="I11" s="3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9" t="s">
        <v>8</v>
      </c>
      <c r="B12" s="80"/>
      <c r="C12" s="50" t="str">
        <f t="shared" ref="C12:J12" si="0">IF(SUM(C6:C11)=PUNTAJE,SUM(C6:C11),"ERROR")</f>
        <v>ERROR</v>
      </c>
      <c r="D12" s="50" t="str">
        <f t="shared" si="0"/>
        <v>ERROR</v>
      </c>
      <c r="E12" s="50" t="str">
        <f t="shared" si="0"/>
        <v>ERROR</v>
      </c>
      <c r="F12" s="50" t="str">
        <f t="shared" si="0"/>
        <v>ERROR</v>
      </c>
      <c r="G12" s="50" t="str">
        <f t="shared" si="0"/>
        <v>ERROR</v>
      </c>
      <c r="H12" s="50" t="str">
        <f t="shared" si="0"/>
        <v>ERROR</v>
      </c>
      <c r="I12" s="50" t="str">
        <f t="shared" si="0"/>
        <v>ERROR</v>
      </c>
      <c r="J12" s="50" t="str">
        <f t="shared" si="0"/>
        <v>ERROR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81" t="s">
        <v>27</v>
      </c>
      <c r="B14" s="64"/>
      <c r="C14" s="64"/>
      <c r="D14" s="64"/>
      <c r="E14" s="64"/>
      <c r="F14" s="64"/>
      <c r="G14" s="64"/>
      <c r="H14" s="64"/>
      <c r="I14" s="6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68" t="s">
        <v>28</v>
      </c>
      <c r="B15" s="64"/>
      <c r="C15" s="64"/>
      <c r="D15" s="64"/>
      <c r="E15" s="64"/>
      <c r="F15" s="64"/>
      <c r="G15" s="64"/>
      <c r="H15" s="64"/>
      <c r="I15" s="6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68" t="s">
        <v>29</v>
      </c>
      <c r="B16" s="64"/>
      <c r="C16" s="64"/>
      <c r="D16" s="64"/>
      <c r="E16" s="64"/>
      <c r="F16" s="64"/>
      <c r="G16" s="64"/>
      <c r="H16" s="64"/>
      <c r="I16" s="6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68" t="s">
        <v>30</v>
      </c>
      <c r="B17" s="64"/>
      <c r="C17" s="64"/>
      <c r="D17" s="64"/>
      <c r="E17" s="64"/>
      <c r="F17" s="64"/>
      <c r="G17" s="64"/>
      <c r="H17" s="64"/>
      <c r="I17" s="6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17:I17"/>
    <mergeCell ref="D1:E1"/>
    <mergeCell ref="F1:I1"/>
    <mergeCell ref="D2:E2"/>
    <mergeCell ref="G2:H2"/>
    <mergeCell ref="A4:A5"/>
    <mergeCell ref="C4:D4"/>
    <mergeCell ref="E4:G4"/>
    <mergeCell ref="B4:B5"/>
    <mergeCell ref="A12:B12"/>
    <mergeCell ref="A14:I14"/>
    <mergeCell ref="A15:I15"/>
    <mergeCell ref="A16:I16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Concentrado</vt:lpstr>
      <vt:lpstr>Alumno1</vt:lpstr>
      <vt:lpstr>Alumno2</vt:lpstr>
      <vt:lpstr>Alumno3</vt:lpstr>
      <vt:lpstr>Alumno4</vt:lpstr>
      <vt:lpstr>Alumno5</vt:lpstr>
      <vt:lpstr>Alumno6</vt:lpstr>
      <vt:lpstr>ALUMNOS</vt:lpstr>
      <vt:lpstr>FECHA</vt:lpstr>
      <vt:lpstr>GRADO</vt:lpstr>
      <vt:lpstr>PARCIAL</vt:lpstr>
      <vt:lpstr>PORCENTAJE</vt:lpstr>
      <vt:lpstr>PUNTAJE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18</dc:creator>
  <cp:lastModifiedBy>Ariana Belinda Pulido Solano</cp:lastModifiedBy>
  <dcterms:created xsi:type="dcterms:W3CDTF">2014-11-12T00:56:45Z</dcterms:created>
  <dcterms:modified xsi:type="dcterms:W3CDTF">2026-02-11T22:21:43Z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